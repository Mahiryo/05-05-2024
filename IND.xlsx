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Hir\Desktop\"/>
    </mc:Choice>
  </mc:AlternateContent>
  <xr:revisionPtr revIDLastSave="0" documentId="8_{0F4D8D7E-3089-4216-92D0-B2690E24F37A}" xr6:coauthVersionLast="47" xr6:coauthVersionMax="47" xr10:uidLastSave="{00000000-0000-0000-0000-000000000000}"/>
  <bookViews>
    <workbookView xWindow="-120" yWindow="-120" windowWidth="29040" windowHeight="15720" xr2:uid="{5EC07153-9687-4BC9-9370-EC6F7768C10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 s="1"/>
  <c r="D21" i="1"/>
  <c r="D20" i="1"/>
  <c r="D19" i="1" l="1"/>
</calcChain>
</file>

<file path=xl/sharedStrings.xml><?xml version="1.0" encoding="utf-8"?>
<sst xmlns="http://schemas.openxmlformats.org/spreadsheetml/2006/main" count="88" uniqueCount="35">
  <si>
    <t>Sprint</t>
  </si>
  <si>
    <t>Entregáveis</t>
  </si>
  <si>
    <t>Status</t>
  </si>
  <si>
    <t>Classificação</t>
  </si>
  <si>
    <t>Tamanho</t>
  </si>
  <si>
    <t>Peso</t>
  </si>
  <si>
    <t>Prioridade</t>
  </si>
  <si>
    <t>Sprint 1-A</t>
  </si>
  <si>
    <t>Backlog</t>
  </si>
  <si>
    <t>Essencial</t>
  </si>
  <si>
    <t>G</t>
  </si>
  <si>
    <t>Documentação</t>
  </si>
  <si>
    <t>GG</t>
  </si>
  <si>
    <t>Formação de Trello</t>
  </si>
  <si>
    <t>Importante</t>
  </si>
  <si>
    <t>M</t>
  </si>
  <si>
    <t>Formação de Repositório</t>
  </si>
  <si>
    <t>Mapa de navegação do site</t>
  </si>
  <si>
    <t>Desejável</t>
  </si>
  <si>
    <t>Game Progression Map</t>
  </si>
  <si>
    <t>Pagina Registro</t>
  </si>
  <si>
    <t>Pagina Login</t>
  </si>
  <si>
    <t>Página Home</t>
  </si>
  <si>
    <t>Site HTML com CSS</t>
  </si>
  <si>
    <t>Done</t>
  </si>
  <si>
    <t>Sprint 1-B</t>
  </si>
  <si>
    <t>Sistema de Inventáro</t>
  </si>
  <si>
    <t>Sistema de Save/Load</t>
  </si>
  <si>
    <t>Implementação completa API</t>
  </si>
  <si>
    <t>Implementação do Chart js</t>
  </si>
  <si>
    <t>Modelagem de dados</t>
  </si>
  <si>
    <t>Total</t>
  </si>
  <si>
    <t>Planejado</t>
  </si>
  <si>
    <t>Entregue</t>
  </si>
  <si>
    <t>Periodos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</si>
</sst>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</a:t>
            </a:r>
          </a:p>
        </c:rich>
      </c:tx>
      <c:layout>
        <c:manualLayout>
          <c:xMode val="edge"/>
          <c:yMode val="edge"/>
          <c:x val="0.2171719463610150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Planilha1!$D$18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9525">
                <a:solidFill>
                  <a:schemeClr val="accent6">
                    <a:tint val="77000"/>
                  </a:schemeClr>
                </a:solidFill>
              </a:ln>
              <a:effectLst/>
            </c:spPr>
          </c:marker>
          <c:cat>
            <c:strRef>
              <c:f>Planilha1!$C$19:$C$21</c:f>
              <c:strCache>
                <c:ptCount val="3"/>
                <c:pt idx="0">
                  <c:v>Total</c:v>
                </c:pt>
                <c:pt idx="1">
                  <c:v>Sprint 1-A</c:v>
                </c:pt>
                <c:pt idx="2">
                  <c:v>Sprint 1-B</c:v>
                </c:pt>
              </c:strCache>
            </c:strRef>
          </c:cat>
          <c:val>
            <c:numRef>
              <c:f>Planilha1!$D$19:$D$21</c:f>
              <c:numCache>
                <c:formatCode>General</c:formatCode>
                <c:ptCount val="3"/>
                <c:pt idx="0">
                  <c:v>107</c:v>
                </c:pt>
                <c:pt idx="1">
                  <c:v>48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E-4A71-AD54-1A7B43098ECA}"/>
            </c:ext>
          </c:extLst>
        </c:ser>
        <c:ser>
          <c:idx val="1"/>
          <c:order val="1"/>
          <c:tx>
            <c:strRef>
              <c:f>Planilha1!$E$18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76000"/>
                </a:schemeClr>
              </a:solidFill>
              <a:ln w="9525">
                <a:solidFill>
                  <a:schemeClr val="accent6">
                    <a:shade val="76000"/>
                  </a:schemeClr>
                </a:solidFill>
              </a:ln>
              <a:effectLst/>
            </c:spPr>
          </c:marker>
          <c:cat>
            <c:strRef>
              <c:f>Planilha1!$C$19:$C$21</c:f>
              <c:strCache>
                <c:ptCount val="3"/>
                <c:pt idx="0">
                  <c:v>Total</c:v>
                </c:pt>
                <c:pt idx="1">
                  <c:v>Sprint 1-A</c:v>
                </c:pt>
                <c:pt idx="2">
                  <c:v>Sprint 1-B</c:v>
                </c:pt>
              </c:strCache>
            </c:strRef>
          </c:cat>
          <c:val>
            <c:numRef>
              <c:f>Planilha1!$E$19:$E$21</c:f>
              <c:numCache>
                <c:formatCode>General</c:formatCode>
                <c:ptCount val="3"/>
                <c:pt idx="0">
                  <c:v>107</c:v>
                </c:pt>
                <c:pt idx="1">
                  <c:v>35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E-4A71-AD54-1A7B43098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519343"/>
        <c:axId val="1242518383"/>
      </c:lineChart>
      <c:catAx>
        <c:axId val="124251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2518383"/>
        <c:crosses val="autoZero"/>
        <c:auto val="1"/>
        <c:lblAlgn val="ctr"/>
        <c:lblOffset val="100"/>
        <c:noMultiLvlLbl val="0"/>
      </c:catAx>
      <c:valAx>
        <c:axId val="12425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251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33956</xdr:colOff>
      <xdr:row>16</xdr:row>
      <xdr:rowOff>130604</xdr:rowOff>
    </xdr:from>
    <xdr:to>
      <xdr:col>6</xdr:col>
      <xdr:colOff>2213808</xdr:colOff>
      <xdr:row>31</xdr:row>
      <xdr:rowOff>16304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ABA733-F289-5105-A19B-C4DAC4188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425C0-E63A-4BFA-8246-CC4BA3A14465}" name="Tabela1" displayName="Tabela1" ref="B1:H16" totalsRowShown="0" headerRowDxfId="11" dataDxfId="21" headerRowBorderDxfId="22" tableBorderDxfId="20" totalsRowBorderDxfId="19">
  <autoFilter ref="B1:H16" xr:uid="{158425C0-E63A-4BFA-8246-CC4BA3A14465}"/>
  <tableColumns count="7">
    <tableColumn id="1" xr3:uid="{1F599BA9-1DEF-45E2-A744-53CA9A08D9F2}" name="Sprint" dataDxfId="18"/>
    <tableColumn id="2" xr3:uid="{4B8FFB0F-49C5-4A6F-A627-F2B2DD2D16A7}" name="Entregáveis" dataDxfId="17"/>
    <tableColumn id="3" xr3:uid="{68138CD2-14B7-4899-9133-172CE7B64B71}" name="Status" dataDxfId="16"/>
    <tableColumn id="4" xr3:uid="{4F478168-B4DE-4EBF-9A81-512C25948B10}" name="Classificação" dataDxfId="15"/>
    <tableColumn id="5" xr3:uid="{99F598AA-2F95-48D3-AD30-44C4214AD4B5}" name="Tamanho" dataDxfId="14"/>
    <tableColumn id="6" xr3:uid="{F665AB7C-695E-4865-BE10-D084C116109E}" name="Peso" dataDxfId="13"/>
    <tableColumn id="7" xr3:uid="{F5BD43D2-D7BE-4E25-962F-6391706A4550}" name="Prioridade" dataDxfId="12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B9E3C2-DE8C-4897-8F83-8BB57BE2BBC4}" name="Tabela4" displayName="Tabela4" ref="C18:E21" totalsRowShown="0" headerRowDxfId="7" dataDxfId="8">
  <autoFilter ref="C18:E21" xr:uid="{07B9E3C2-DE8C-4897-8F83-8BB57BE2BBC4}"/>
  <tableColumns count="3">
    <tableColumn id="1" xr3:uid="{D616BED7-2E9B-4463-AB75-4A62ABDDFE28}" name="Periodos" dataDxfId="10"/>
    <tableColumn id="2" xr3:uid="{F93E8F20-13F1-4112-9C84-AC969E6D0F65}" name="Planejado" dataDxfId="6">
      <calculatedColumnFormula>SUBTOTAL(109,D18)</calculatedColumnFormula>
    </tableColumn>
    <tableColumn id="3" xr3:uid="{5C1FAFD6-72A2-4414-8637-A94FEBE03C7E}" name="Entregue" dataDxfId="9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F904-745B-4C86-BAEC-56FDD4E51460}">
  <dimension ref="B1:L21"/>
  <sheetViews>
    <sheetView tabSelected="1" zoomScale="85" zoomScaleNormal="85" workbookViewId="0">
      <selection activeCell="I13" sqref="I13"/>
    </sheetView>
  </sheetViews>
  <sheetFormatPr defaultRowHeight="15" x14ac:dyDescent="0.25"/>
  <cols>
    <col min="1" max="5" width="35.7109375" customWidth="1"/>
    <col min="6" max="9" width="35.7109375" style="1" customWidth="1"/>
    <col min="10" max="10" width="18.140625" style="1" bestFit="1" customWidth="1"/>
    <col min="11" max="11" width="18.7109375" style="1" bestFit="1" customWidth="1"/>
    <col min="12" max="12" width="18.140625" style="1" bestFit="1" customWidth="1"/>
  </cols>
  <sheetData>
    <row r="1" spans="2:8" ht="15.75" x14ac:dyDescent="0.25">
      <c r="B1" s="8" t="s">
        <v>0</v>
      </c>
      <c r="C1" s="9" t="s">
        <v>1</v>
      </c>
      <c r="D1" s="9" t="s">
        <v>2</v>
      </c>
      <c r="E1" s="9" t="s">
        <v>3</v>
      </c>
      <c r="F1" s="10" t="s">
        <v>4</v>
      </c>
      <c r="G1" s="10" t="s">
        <v>5</v>
      </c>
      <c r="H1" s="11" t="s">
        <v>6</v>
      </c>
    </row>
    <row r="2" spans="2:8" x14ac:dyDescent="0.25">
      <c r="B2" s="2" t="s">
        <v>7</v>
      </c>
      <c r="C2" s="3" t="s">
        <v>8</v>
      </c>
      <c r="D2" s="3" t="s">
        <v>24</v>
      </c>
      <c r="E2" s="3" t="s">
        <v>9</v>
      </c>
      <c r="F2" s="5" t="s">
        <v>10</v>
      </c>
      <c r="G2" s="6">
        <v>8</v>
      </c>
      <c r="H2" s="4">
        <v>3</v>
      </c>
    </row>
    <row r="3" spans="2:8" x14ac:dyDescent="0.25">
      <c r="B3" s="2" t="s">
        <v>7</v>
      </c>
      <c r="C3" s="3" t="s">
        <v>11</v>
      </c>
      <c r="D3" s="3" t="s">
        <v>24</v>
      </c>
      <c r="E3" s="3" t="s">
        <v>9</v>
      </c>
      <c r="F3" s="7" t="s">
        <v>12</v>
      </c>
      <c r="G3" s="7">
        <v>12</v>
      </c>
      <c r="H3" s="4">
        <v>3</v>
      </c>
    </row>
    <row r="4" spans="2:8" x14ac:dyDescent="0.25">
      <c r="B4" s="2" t="s">
        <v>7</v>
      </c>
      <c r="C4" s="3" t="s">
        <v>13</v>
      </c>
      <c r="D4" s="3" t="s">
        <v>24</v>
      </c>
      <c r="E4" s="3" t="s">
        <v>14</v>
      </c>
      <c r="F4" s="6" t="s">
        <v>15</v>
      </c>
      <c r="G4" s="6">
        <v>5</v>
      </c>
      <c r="H4" s="4">
        <v>1</v>
      </c>
    </row>
    <row r="5" spans="2:8" x14ac:dyDescent="0.25">
      <c r="B5" s="2" t="s">
        <v>7</v>
      </c>
      <c r="C5" s="3" t="s">
        <v>16</v>
      </c>
      <c r="D5" s="3" t="s">
        <v>24</v>
      </c>
      <c r="E5" s="3" t="s">
        <v>14</v>
      </c>
      <c r="F5" s="7" t="s">
        <v>15</v>
      </c>
      <c r="G5" s="7">
        <v>5</v>
      </c>
      <c r="H5" s="4">
        <v>1</v>
      </c>
    </row>
    <row r="6" spans="2:8" x14ac:dyDescent="0.25">
      <c r="B6" s="2" t="s">
        <v>7</v>
      </c>
      <c r="C6" s="3" t="s">
        <v>17</v>
      </c>
      <c r="D6" s="3" t="s">
        <v>24</v>
      </c>
      <c r="E6" s="3" t="s">
        <v>18</v>
      </c>
      <c r="F6" s="6" t="s">
        <v>15</v>
      </c>
      <c r="G6" s="6">
        <v>5</v>
      </c>
      <c r="H6" s="4">
        <v>2</v>
      </c>
    </row>
    <row r="7" spans="2:8" x14ac:dyDescent="0.25">
      <c r="B7" s="2" t="s">
        <v>7</v>
      </c>
      <c r="C7" s="3" t="s">
        <v>19</v>
      </c>
      <c r="D7" s="3" t="s">
        <v>24</v>
      </c>
      <c r="E7" s="3" t="s">
        <v>18</v>
      </c>
      <c r="F7" s="3" t="s">
        <v>10</v>
      </c>
      <c r="G7" s="3">
        <v>8</v>
      </c>
      <c r="H7" s="4">
        <v>2</v>
      </c>
    </row>
    <row r="8" spans="2:8" x14ac:dyDescent="0.25">
      <c r="B8" s="2" t="s">
        <v>7</v>
      </c>
      <c r="C8" s="3" t="s">
        <v>30</v>
      </c>
      <c r="D8" s="3" t="s">
        <v>24</v>
      </c>
      <c r="E8" s="3" t="s">
        <v>14</v>
      </c>
      <c r="F8" s="3" t="s">
        <v>15</v>
      </c>
      <c r="G8" s="3">
        <v>5</v>
      </c>
      <c r="H8" s="4">
        <v>3</v>
      </c>
    </row>
    <row r="9" spans="2:8" x14ac:dyDescent="0.25">
      <c r="B9" s="2" t="s">
        <v>25</v>
      </c>
      <c r="C9" s="3" t="s">
        <v>20</v>
      </c>
      <c r="D9" s="3" t="s">
        <v>24</v>
      </c>
      <c r="E9" s="3" t="s">
        <v>9</v>
      </c>
      <c r="F9" s="3" t="s">
        <v>15</v>
      </c>
      <c r="G9" s="3">
        <v>5</v>
      </c>
      <c r="H9" s="4">
        <v>2</v>
      </c>
    </row>
    <row r="10" spans="2:8" x14ac:dyDescent="0.25">
      <c r="B10" s="2" t="s">
        <v>25</v>
      </c>
      <c r="C10" s="3" t="s">
        <v>21</v>
      </c>
      <c r="D10" s="3" t="s">
        <v>24</v>
      </c>
      <c r="E10" s="3" t="s">
        <v>9</v>
      </c>
      <c r="F10" s="3" t="s">
        <v>15</v>
      </c>
      <c r="G10" s="3">
        <v>5</v>
      </c>
      <c r="H10" s="4">
        <v>2</v>
      </c>
    </row>
    <row r="11" spans="2:8" x14ac:dyDescent="0.25">
      <c r="B11" s="2" t="s">
        <v>25</v>
      </c>
      <c r="C11" s="3" t="s">
        <v>22</v>
      </c>
      <c r="D11" s="3" t="s">
        <v>24</v>
      </c>
      <c r="E11" s="3" t="s">
        <v>18</v>
      </c>
      <c r="F11" s="3" t="s">
        <v>10</v>
      </c>
      <c r="G11" s="3">
        <v>8</v>
      </c>
      <c r="H11" s="4">
        <v>1</v>
      </c>
    </row>
    <row r="12" spans="2:8" x14ac:dyDescent="0.25">
      <c r="B12" s="2" t="s">
        <v>25</v>
      </c>
      <c r="C12" s="3" t="s">
        <v>23</v>
      </c>
      <c r="D12" s="3" t="s">
        <v>24</v>
      </c>
      <c r="E12" s="3" t="s">
        <v>14</v>
      </c>
      <c r="F12" s="3" t="s">
        <v>10</v>
      </c>
      <c r="G12" s="3">
        <v>8</v>
      </c>
      <c r="H12" s="4">
        <v>1</v>
      </c>
    </row>
    <row r="13" spans="2:8" x14ac:dyDescent="0.25">
      <c r="B13" s="2" t="s">
        <v>25</v>
      </c>
      <c r="C13" s="3" t="s">
        <v>26</v>
      </c>
      <c r="D13" s="3" t="s">
        <v>24</v>
      </c>
      <c r="E13" s="3" t="s">
        <v>14</v>
      </c>
      <c r="F13" s="3" t="s">
        <v>15</v>
      </c>
      <c r="G13" s="3">
        <v>5</v>
      </c>
      <c r="H13" s="4">
        <v>1</v>
      </c>
    </row>
    <row r="14" spans="2:8" x14ac:dyDescent="0.25">
      <c r="B14" s="2" t="s">
        <v>25</v>
      </c>
      <c r="C14" s="3" t="s">
        <v>27</v>
      </c>
      <c r="D14" s="3" t="s">
        <v>24</v>
      </c>
      <c r="E14" s="3" t="s">
        <v>14</v>
      </c>
      <c r="F14" s="3" t="s">
        <v>10</v>
      </c>
      <c r="G14" s="3">
        <v>8</v>
      </c>
      <c r="H14" s="4">
        <v>1</v>
      </c>
    </row>
    <row r="15" spans="2:8" x14ac:dyDescent="0.25">
      <c r="B15" s="2" t="s">
        <v>25</v>
      </c>
      <c r="C15" s="3" t="s">
        <v>28</v>
      </c>
      <c r="D15" s="3" t="s">
        <v>24</v>
      </c>
      <c r="E15" s="3" t="s">
        <v>9</v>
      </c>
      <c r="F15" s="3" t="s">
        <v>12</v>
      </c>
      <c r="G15" s="3">
        <v>12</v>
      </c>
      <c r="H15" s="4">
        <v>2</v>
      </c>
    </row>
    <row r="16" spans="2:8" x14ac:dyDescent="0.25">
      <c r="B16" s="2" t="s">
        <v>25</v>
      </c>
      <c r="C16" s="3" t="s">
        <v>29</v>
      </c>
      <c r="D16" s="3" t="s">
        <v>24</v>
      </c>
      <c r="E16" s="3" t="s">
        <v>18</v>
      </c>
      <c r="F16" s="3" t="s">
        <v>10</v>
      </c>
      <c r="G16" s="3">
        <v>8</v>
      </c>
      <c r="H16" s="4">
        <v>1</v>
      </c>
    </row>
    <row r="18" spans="3:5" x14ac:dyDescent="0.25">
      <c r="C18" s="1" t="s">
        <v>34</v>
      </c>
      <c r="D18" s="1" t="s">
        <v>32</v>
      </c>
      <c r="E18" s="1" t="s">
        <v>33</v>
      </c>
    </row>
    <row r="19" spans="3:5" x14ac:dyDescent="0.25">
      <c r="C19" s="1" t="s">
        <v>31</v>
      </c>
      <c r="D19" s="12">
        <f>SUM(D20:D21)</f>
        <v>107</v>
      </c>
      <c r="E19" s="12">
        <f>SUM(E20:E21)</f>
        <v>107</v>
      </c>
    </row>
    <row r="20" spans="3:5" x14ac:dyDescent="0.25">
      <c r="C20" s="1" t="s">
        <v>7</v>
      </c>
      <c r="D20" s="12">
        <f>SUM(G2:G8)</f>
        <v>48</v>
      </c>
      <c r="E20" s="1">
        <f>SUM(G2:G6)</f>
        <v>35</v>
      </c>
    </row>
    <row r="21" spans="3:5" x14ac:dyDescent="0.25">
      <c r="C21" s="1" t="s">
        <v>25</v>
      </c>
      <c r="D21" s="12">
        <f>SUM(G9:G16)</f>
        <v>59</v>
      </c>
      <c r="E21" s="1">
        <f>SUM(G7:G16)</f>
        <v>72</v>
      </c>
    </row>
  </sheetData>
  <phoneticPr fontId="1" type="noConversion"/>
  <conditionalFormatting sqref="D1">
    <cfRule type="containsText" dxfId="5" priority="4" operator="containsText" text="Não iniciado">
      <formula>NOT(ISERROR(SEARCH("Não iniciado",D1)))</formula>
    </cfRule>
    <cfRule type="containsText" dxfId="4" priority="5" operator="containsText" text="Produção">
      <formula>NOT(ISERROR(SEARCH("Produção",D1)))</formula>
    </cfRule>
    <cfRule type="containsText" dxfId="3" priority="6" operator="containsText" text="Entregue">
      <formula>NOT(ISERROR(SEARCH("Entregue",D1)))</formula>
    </cfRule>
  </conditionalFormatting>
  <conditionalFormatting sqref="E1">
    <cfRule type="containsText" dxfId="2" priority="1" operator="containsText" text="Desejavel">
      <formula>NOT(ISERROR(SEARCH("Desejavel",E1)))</formula>
    </cfRule>
    <cfRule type="containsText" dxfId="1" priority="2" operator="containsText" text="Importante">
      <formula>NOT(ISERROR(SEARCH("Importante",E1)))</formula>
    </cfRule>
    <cfRule type="containsText" dxfId="0" priority="3" operator="containsText" text="Essencial">
      <formula>NOT(ISERROR(SEARCH("Essencial",E1)))</formula>
    </cfRule>
  </conditionalFormatting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10" ma:contentTypeDescription="Create a new document." ma:contentTypeScope="" ma:versionID="3621b17ea9c56ab97abfe352a66ec9f1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d4cdb2840dd9a8a6a1de19cfeee74fdb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36591-0852-414E-B618-DDA425C5316C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8497f9ae-9c71-438c-b553-1e6fe8b1acb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8AB8B00-B1F1-4ED7-841A-D8B4AC9E99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EAD2D1-33F5-46EF-B68D-962DFD78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HIROSHI YOGI CARVALHO .</dc:creator>
  <cp:keywords/>
  <dc:description/>
  <cp:lastModifiedBy>MARCOS HIROSHI YOGI CARVALHO .</cp:lastModifiedBy>
  <cp:revision/>
  <dcterms:created xsi:type="dcterms:W3CDTF">2025-11-04T16:06:08Z</dcterms:created>
  <dcterms:modified xsi:type="dcterms:W3CDTF">2025-11-23T23:47:30Z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